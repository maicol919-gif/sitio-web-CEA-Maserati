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-Disclaimer-" sheetId="2" r:id="rId5"/>
  </sheets>
  <definedNames/>
  <calcPr/>
  <extLst>
    <ext uri="GoogleSheetsCustomDataVersion2">
      <go:sheetsCustomData xmlns:go="http://customooxmlschemas.google.com/" r:id="rId6" roundtripDataChecksum="MRE4Qn+yM68TOLsd/br878hNlTAQEWOcuoIRI403E9k="/>
    </ext>
  </extLst>
</workbook>
</file>

<file path=xl/sharedStrings.xml><?xml version="1.0" encoding="utf-8"?>
<sst xmlns="http://schemas.openxmlformats.org/spreadsheetml/2006/main" count="63" uniqueCount="51">
  <si>
    <t>PRESUPUESTO PROYECTO</t>
  </si>
  <si>
    <t>MANO DE OBRA (RH)</t>
  </si>
  <si>
    <t>Materiales (Recursos Tangibles)</t>
  </si>
  <si>
    <t>Fijos (Costos Fijos)</t>
  </si>
  <si>
    <t>Balance (Saldo o Equilibrio Presupuestal)</t>
  </si>
  <si>
    <t>Indicadores de Estado</t>
  </si>
  <si>
    <t>TAREA</t>
  </si>
  <si>
    <t>DESCRIPCIÓN</t>
  </si>
  <si>
    <t>ESTADO</t>
  </si>
  <si>
    <t>FECHA DE INICIO PLANIFICADA</t>
  </si>
  <si>
    <t xml:space="preserve">FECHA DE INICIO REAL </t>
  </si>
  <si>
    <t>FECHA DE FINALIZACIÓN</t>
  </si>
  <si>
    <t>HORAS</t>
  </si>
  <si>
    <t>$/HR</t>
  </si>
  <si>
    <t>UNIDADES</t>
  </si>
  <si>
    <t>$/UNI</t>
  </si>
  <si>
    <t>VIAJES/DESPLAZAMIENTO</t>
  </si>
  <si>
    <t>EQUIPOS/SPACIOS</t>
  </si>
  <si>
    <t>VARIOS</t>
  </si>
  <si>
    <t>PRESUPUESTO</t>
  </si>
  <si>
    <t>ACTUAL</t>
  </si>
  <si>
    <t>Por Debajo/Por Encima (del Presupuesto)</t>
  </si>
  <si>
    <t>Not Started</t>
  </si>
  <si>
    <t>PAGINA WEB
 CEA MASERATI</t>
  </si>
  <si>
    <t>In Progress</t>
  </si>
  <si>
    <t xml:space="preserve">planificación </t>
  </si>
  <si>
    <t>-Definir requerimientos y objetivos
-Establecer las herramientas a utilizar
-Determinar fuentes para recolección de datos</t>
  </si>
  <si>
    <t>Complete</t>
  </si>
  <si>
    <t>4/16/2026</t>
  </si>
  <si>
    <t>4/17/2026</t>
  </si>
  <si>
    <t>diseño UI/UX</t>
  </si>
  <si>
    <t>-Creación de prototipo
-Definir paleta de colores
-Definir fuentes
-Definir iconos</t>
  </si>
  <si>
    <t>4/21/2026</t>
  </si>
  <si>
    <t>4/24/2026</t>
  </si>
  <si>
    <t>On Hold</t>
  </si>
  <si>
    <t>Desarrollo del frontend</t>
  </si>
  <si>
    <t>-implementación de lenguajes como html, css, javascript.
-implementación de frameworks como bootstrap</t>
  </si>
  <si>
    <t>5/21/2026</t>
  </si>
  <si>
    <t>Overdue</t>
  </si>
  <si>
    <t>pruebas</t>
  </si>
  <si>
    <t>pruebas funcionales y correccion de errores</t>
  </si>
  <si>
    <t>5/25/2026</t>
  </si>
  <si>
    <t>5/26/2026</t>
  </si>
  <si>
    <t>Needs Review</t>
  </si>
  <si>
    <t>implementación</t>
  </si>
  <si>
    <t>despliegue del servidor y ajustes finales</t>
  </si>
  <si>
    <t>in progress</t>
  </si>
  <si>
    <t xml:space="preserve">mantenimiento y soporte </t>
  </si>
  <si>
    <t xml:space="preserve">correccion de errores postproducción </t>
  </si>
  <si>
    <t>5/27/2026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</si>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</sst>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_(&quot;$&quot;* #,##0.00_);_(&quot;$&quot;* \(#,##0.00\);_(&quot;$&quot;* &quot;-&quot;??_);_(@_)"/>
    <numFmt numFmtId="166" formatCode="0.0"/>
    <numFmt numFmtId="167" formatCode="&quot;$&quot;#,##0.00_);\(&quot;$&quot;#,##0.00\)"/>
    <numFmt numFmtId="168" formatCode="&quot;$&quot;#,##0.00"/>
    <numFmt numFmtId="169" formatCode="_(* #,##0.00_);_(* \(#,##0.00\);_(* &quot;-&quot;??_);_(@_)"/>
  </numFmts>
  <fonts count="11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595959"/>
      <name val="Century Gothic"/>
    </font>
    <font/>
    <font>
      <b/>
      <sz val="20.0"/>
      <color rgb="FF7F7F7F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sz val="10.0"/>
      <color rgb="FF000000"/>
      <name val="Century Gothic"/>
    </font>
    <font>
      <b/>
      <i/>
      <sz val="10.0"/>
      <color theme="1"/>
      <name val="Century Gothic"/>
    </font>
    <font>
      <sz val="10.0"/>
      <color theme="0"/>
      <name val="Century Gothic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333F4F"/>
        <bgColor rgb="FF333F4F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94EFFB"/>
        <bgColor rgb="FF94EFFB"/>
      </patternFill>
    </fill>
    <fill>
      <patternFill patternType="solid">
        <fgColor rgb="FF44546A"/>
        <bgColor rgb="FF44546A"/>
      </patternFill>
    </fill>
  </fills>
  <borders count="15">
    <border/>
    <border>
      <left/>
      <right/>
      <top/>
      <bottom/>
    </border>
    <border>
      <left/>
      <top/>
      <bottom style="thin">
        <color rgb="FFBFBFBF"/>
      </bottom>
    </border>
    <border>
      <top/>
      <bottom style="thin">
        <color rgb="FFBFBFBF"/>
      </bottom>
    </border>
    <border>
      <right/>
      <top/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3" fontId="5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10" fillId="3" fontId="5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3" fontId="5" numFmtId="0" xfId="0" applyAlignment="1" applyBorder="1" applyFont="1">
      <alignment horizontal="center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ill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2" fillId="7" fontId="6" numFmtId="0" xfId="0" applyAlignment="1" applyBorder="1" applyFill="1" applyFont="1">
      <alignment horizontal="center" shrinkToFit="0" vertical="center" wrapText="1"/>
    </xf>
    <xf borderId="12" fillId="7" fontId="1" numFmtId="0" xfId="0" applyAlignment="1" applyBorder="1" applyFont="1">
      <alignment horizontal="left" shrinkToFit="0" vertical="center" wrapText="1"/>
    </xf>
    <xf borderId="12" fillId="7" fontId="1" numFmtId="164" xfId="0" applyAlignment="1" applyBorder="1" applyFont="1" applyNumberFormat="1">
      <alignment horizontal="left" shrinkToFit="0" vertical="center" wrapText="1"/>
    </xf>
    <xf borderId="12" fillId="7" fontId="6" numFmtId="0" xfId="0" applyAlignment="1" applyBorder="1" applyFont="1">
      <alignment horizontal="left" shrinkToFit="0" vertical="center" wrapText="1"/>
    </xf>
    <xf borderId="10" fillId="7" fontId="6" numFmtId="0" xfId="0" applyAlignment="1" applyBorder="1" applyFont="1">
      <alignment horizontal="center" shrinkToFit="0" vertical="center" wrapText="1"/>
    </xf>
    <xf borderId="12" fillId="8" fontId="1" numFmtId="165" xfId="0" applyAlignment="1" applyBorder="1" applyFill="1" applyFont="1" applyNumberFormat="1">
      <alignment horizontal="left" shrinkToFit="0" vertical="center" wrapText="1"/>
    </xf>
    <xf borderId="12" fillId="9" fontId="1" numFmtId="165" xfId="0" applyAlignment="1" applyBorder="1" applyFill="1" applyFont="1" applyNumberFormat="1">
      <alignment horizontal="left" shrinkToFit="0" vertical="center" wrapText="1"/>
    </xf>
    <xf borderId="12" fillId="2" fontId="7" numFmtId="0" xfId="0" applyAlignment="1" applyBorder="1" applyFont="1">
      <alignment horizontal="left" readingOrder="1" shrinkToFit="0" vertical="center" wrapText="1"/>
    </xf>
    <xf borderId="12" fillId="0" fontId="6" numFmtId="0" xfId="0" applyAlignment="1" applyBorder="1" applyFont="1">
      <alignment horizontal="left" shrinkToFit="0" vertical="center" wrapText="1"/>
    </xf>
    <xf borderId="12" fillId="0" fontId="6" numFmtId="164" xfId="0" applyAlignment="1" applyBorder="1" applyFont="1" applyNumberFormat="1">
      <alignment horizontal="left" shrinkToFit="0" vertical="center" wrapText="1"/>
    </xf>
    <xf borderId="12" fillId="0" fontId="1" numFmtId="166" xfId="0" applyAlignment="1" applyBorder="1" applyFont="1" applyNumberFormat="1">
      <alignment horizontal="center" shrinkToFit="0" vertical="center" wrapText="1"/>
    </xf>
    <xf borderId="12" fillId="0" fontId="1" numFmtId="167" xfId="0" applyAlignment="1" applyBorder="1" applyFont="1" applyNumberFormat="1">
      <alignment horizontal="right" shrinkToFit="0" vertical="center" wrapText="1"/>
    </xf>
    <xf borderId="12" fillId="0" fontId="1" numFmtId="168" xfId="0" applyAlignment="1" applyBorder="1" applyFont="1" applyNumberFormat="1">
      <alignment horizontal="right" shrinkToFit="0" vertical="center" wrapText="1"/>
    </xf>
    <xf borderId="10" fillId="0" fontId="1" numFmtId="167" xfId="0" applyAlignment="1" applyBorder="1" applyFont="1" applyNumberFormat="1">
      <alignment horizontal="right" shrinkToFit="0" vertical="center" wrapText="1"/>
    </xf>
    <xf borderId="12" fillId="10" fontId="1" numFmtId="169" xfId="0" applyAlignment="1" applyBorder="1" applyFill="1" applyFont="1" applyNumberFormat="1">
      <alignment horizontal="left" shrinkToFit="0" vertical="center" wrapText="1"/>
    </xf>
    <xf borderId="12" fillId="8" fontId="1" numFmtId="169" xfId="0" applyAlignment="1" applyBorder="1" applyFont="1" applyNumberFormat="1">
      <alignment horizontal="left" shrinkToFit="0" vertical="center" wrapText="1"/>
    </xf>
    <xf borderId="12" fillId="9" fontId="1" numFmtId="169" xfId="0" applyAlignment="1" applyBorder="1" applyFont="1" applyNumberFormat="1">
      <alignment horizontal="left" shrinkToFit="0" vertical="center" wrapText="1"/>
    </xf>
    <xf borderId="12" fillId="0" fontId="6" numFmtId="49" xfId="0" applyAlignment="1" applyBorder="1" applyFont="1" applyNumberForma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2" fillId="11" fontId="1" numFmtId="0" xfId="0" applyAlignment="1" applyBorder="1" applyFill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2" fillId="0" fontId="8" numFmtId="164" xfId="0" applyAlignment="1" applyBorder="1" applyFont="1" applyNumberFormat="1">
      <alignment horizontal="left" shrinkToFit="0" vertical="center" wrapText="1"/>
    </xf>
    <xf borderId="14" fillId="12" fontId="1" numFmtId="0" xfId="0" applyAlignment="1" applyBorder="1" applyFill="1" applyFont="1">
      <alignment horizontal="left" shrinkToFit="0" vertical="center" wrapText="1"/>
    </xf>
    <xf borderId="12" fillId="13" fontId="5" numFmtId="0" xfId="0" applyAlignment="1" applyBorder="1" applyFill="1" applyFont="1">
      <alignment horizontal="left" shrinkToFit="0" vertical="center" wrapText="1"/>
    </xf>
    <xf borderId="12" fillId="13" fontId="5" numFmtId="164" xfId="0" applyAlignment="1" applyBorder="1" applyFont="1" applyNumberFormat="1">
      <alignment horizontal="left" shrinkToFit="0" vertical="center" wrapText="1"/>
    </xf>
    <xf borderId="12" fillId="13" fontId="1" numFmtId="166" xfId="0" applyAlignment="1" applyBorder="1" applyFont="1" applyNumberFormat="1">
      <alignment horizontal="left" shrinkToFit="0" vertical="center" wrapText="1"/>
    </xf>
    <xf borderId="12" fillId="13" fontId="5" numFmtId="167" xfId="0" applyAlignment="1" applyBorder="1" applyFont="1" applyNumberFormat="1">
      <alignment horizontal="right" shrinkToFit="0" vertical="center" wrapText="1"/>
    </xf>
    <xf borderId="12" fillId="13" fontId="5" numFmtId="166" xfId="0" applyAlignment="1" applyBorder="1" applyFont="1" applyNumberFormat="1">
      <alignment horizontal="left" shrinkToFit="0" vertical="center" wrapText="1"/>
    </xf>
    <xf borderId="12" fillId="13" fontId="5" numFmtId="167" xfId="0" applyAlignment="1" applyBorder="1" applyFont="1" applyNumberFormat="1">
      <alignment horizontal="left" shrinkToFit="0" vertical="center" wrapText="1"/>
    </xf>
    <xf borderId="12" fillId="13" fontId="5" numFmtId="168" xfId="0" applyAlignment="1" applyBorder="1" applyFont="1" applyNumberFormat="1">
      <alignment horizontal="left" shrinkToFit="0" vertical="center" wrapText="1"/>
    </xf>
    <xf borderId="10" fillId="13" fontId="5" numFmtId="167" xfId="0" applyAlignment="1" applyBorder="1" applyFont="1" applyNumberFormat="1">
      <alignment horizontal="right" shrinkToFit="0" vertical="center" wrapText="1"/>
    </xf>
    <xf borderId="12" fillId="13" fontId="5" numFmtId="169" xfId="0" applyAlignment="1" applyBorder="1" applyFont="1" applyNumberFormat="1">
      <alignment horizontal="left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1" numFmtId="166" xfId="0" applyAlignment="1" applyBorder="1" applyFont="1" applyNumberFormat="1">
      <alignment horizontal="left" shrinkToFit="0" vertical="center" wrapText="1"/>
    </xf>
    <xf borderId="1" fillId="2" fontId="1" numFmtId="167" xfId="0" applyAlignment="1" applyBorder="1" applyFont="1" applyNumberFormat="1">
      <alignment horizontal="left" shrinkToFit="0" vertical="center" wrapText="1"/>
    </xf>
    <xf borderId="1" fillId="2" fontId="1" numFmtId="169" xfId="0" applyAlignment="1" applyBorder="1" applyFont="1" applyNumberFormat="1">
      <alignment horizontal="left" shrinkToFit="0" vertical="center" wrapText="1"/>
    </xf>
    <xf borderId="1" fillId="2" fontId="6" numFmtId="169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22"/>
    <col customWidth="1" min="2" max="2" width="15.78"/>
    <col customWidth="1" min="3" max="3" width="42.78"/>
    <col customWidth="1" min="4" max="4" width="22.44"/>
    <col customWidth="1" min="5" max="7" width="11.78"/>
    <col customWidth="1" min="8" max="8" width="10.44"/>
    <col customWidth="1" min="9" max="11" width="15.78"/>
    <col customWidth="1" min="12" max="12" width="20.89"/>
    <col customWidth="1" min="13" max="13" width="21.11"/>
    <col customWidth="1" min="14" max="14" width="11.78"/>
    <col customWidth="1" min="15" max="15" width="6.78"/>
    <col customWidth="1" min="16" max="18" width="15.78"/>
    <col customWidth="1" min="19" max="19" width="3.22"/>
    <col customWidth="1" min="20" max="20" width="24.22"/>
    <col customWidth="1" min="21" max="40" width="11.0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34.5" customHeight="1">
      <c r="A2" s="6"/>
      <c r="B2" s="7"/>
      <c r="C2" s="8"/>
      <c r="D2" s="8"/>
      <c r="E2" s="8"/>
      <c r="F2" s="8"/>
      <c r="G2" s="9"/>
      <c r="H2" s="10" t="s">
        <v>1</v>
      </c>
      <c r="I2" s="11"/>
      <c r="J2" s="12" t="s">
        <v>2</v>
      </c>
      <c r="K2" s="13"/>
      <c r="L2" s="13"/>
      <c r="M2" s="11"/>
      <c r="N2" s="12" t="s">
        <v>3</v>
      </c>
      <c r="O2" s="13"/>
      <c r="P2" s="13"/>
      <c r="Q2" s="11"/>
      <c r="R2" s="14" t="s">
        <v>4</v>
      </c>
      <c r="S2" s="6"/>
      <c r="T2" s="15" t="s">
        <v>5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ht="47.25" customHeight="1">
      <c r="A3" s="6"/>
      <c r="B3" s="16" t="s">
        <v>6</v>
      </c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7" t="s">
        <v>12</v>
      </c>
      <c r="I3" s="17" t="s">
        <v>13</v>
      </c>
      <c r="J3" s="16" t="s">
        <v>14</v>
      </c>
      <c r="K3" s="16" t="s">
        <v>15</v>
      </c>
      <c r="L3" s="16" t="s">
        <v>16</v>
      </c>
      <c r="M3" s="16" t="s">
        <v>17</v>
      </c>
      <c r="N3" s="18" t="s">
        <v>18</v>
      </c>
      <c r="O3" s="11"/>
      <c r="P3" s="16" t="s">
        <v>19</v>
      </c>
      <c r="Q3" s="16" t="s">
        <v>20</v>
      </c>
      <c r="R3" s="16" t="s">
        <v>21</v>
      </c>
      <c r="S3" s="6"/>
      <c r="T3" s="19" t="s">
        <v>22</v>
      </c>
      <c r="U3" s="20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ht="30.0" customHeight="1">
      <c r="A4" s="6"/>
      <c r="B4" s="21" t="s">
        <v>23</v>
      </c>
      <c r="C4" s="22"/>
      <c r="D4" s="22"/>
      <c r="E4" s="23"/>
      <c r="F4" s="23"/>
      <c r="G4" s="23"/>
      <c r="H4" s="24"/>
      <c r="I4" s="22"/>
      <c r="J4" s="24"/>
      <c r="K4" s="22"/>
      <c r="L4" s="24"/>
      <c r="M4" s="22"/>
      <c r="N4" s="25"/>
      <c r="O4" s="11"/>
      <c r="P4" s="26">
        <f t="shared" ref="P4:Q4" si="1">SUM(P5:P10)</f>
        <v>1500000</v>
      </c>
      <c r="Q4" s="26">
        <f t="shared" si="1"/>
        <v>1666500</v>
      </c>
      <c r="R4" s="27">
        <f t="shared" ref="R4:R11" si="2">P4-Q4</f>
        <v>-166500</v>
      </c>
      <c r="S4" s="6"/>
      <c r="T4" s="28" t="s">
        <v>24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ht="13.5" customHeight="1">
      <c r="A5" s="6"/>
      <c r="B5" s="29" t="s">
        <v>25</v>
      </c>
      <c r="C5" s="29" t="s">
        <v>26</v>
      </c>
      <c r="D5" s="19" t="s">
        <v>27</v>
      </c>
      <c r="E5" s="30">
        <v>46128.0</v>
      </c>
      <c r="F5" s="30" t="s">
        <v>28</v>
      </c>
      <c r="G5" s="30" t="s">
        <v>29</v>
      </c>
      <c r="H5" s="31">
        <v>6.0</v>
      </c>
      <c r="I5" s="32">
        <v>11000.0</v>
      </c>
      <c r="J5" s="31">
        <v>0.0</v>
      </c>
      <c r="K5" s="32">
        <v>0.0</v>
      </c>
      <c r="L5" s="33">
        <v>0.0</v>
      </c>
      <c r="M5" s="33">
        <v>0.0</v>
      </c>
      <c r="N5" s="34">
        <v>0.0</v>
      </c>
      <c r="O5" s="11"/>
      <c r="P5" s="35">
        <v>100000.0</v>
      </c>
      <c r="Q5" s="36">
        <f t="shared" ref="Q5:Q10" si="3">(H5*I5)+(J5*K5)+L5+M5+N5+O5</f>
        <v>66000</v>
      </c>
      <c r="R5" s="37">
        <f t="shared" si="2"/>
        <v>34000</v>
      </c>
      <c r="S5" s="6"/>
      <c r="T5" s="28" t="s">
        <v>27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ht="13.5" customHeight="1">
      <c r="A6" s="6"/>
      <c r="B6" s="29" t="s">
        <v>30</v>
      </c>
      <c r="C6" s="38" t="s">
        <v>31</v>
      </c>
      <c r="D6" s="28" t="s">
        <v>27</v>
      </c>
      <c r="E6" s="30">
        <v>46133.0</v>
      </c>
      <c r="F6" s="30" t="s">
        <v>32</v>
      </c>
      <c r="G6" s="30" t="s">
        <v>33</v>
      </c>
      <c r="H6" s="31">
        <v>16.0</v>
      </c>
      <c r="I6" s="32">
        <v>11000.0</v>
      </c>
      <c r="J6" s="31">
        <v>0.0</v>
      </c>
      <c r="K6" s="32">
        <v>0.0</v>
      </c>
      <c r="L6" s="33">
        <v>0.0</v>
      </c>
      <c r="M6" s="33">
        <v>0.0</v>
      </c>
      <c r="N6" s="34">
        <v>0.0</v>
      </c>
      <c r="O6" s="11"/>
      <c r="P6" s="35">
        <v>200000.0</v>
      </c>
      <c r="Q6" s="36">
        <f t="shared" si="3"/>
        <v>176000</v>
      </c>
      <c r="R6" s="37">
        <f t="shared" si="2"/>
        <v>24000</v>
      </c>
      <c r="S6" s="6"/>
      <c r="T6" s="39" t="s">
        <v>34</v>
      </c>
      <c r="U6" s="40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3.5" customHeight="1">
      <c r="A7" s="6"/>
      <c r="B7" s="29" t="s">
        <v>35</v>
      </c>
      <c r="C7" s="38" t="s">
        <v>36</v>
      </c>
      <c r="D7" s="28" t="s">
        <v>27</v>
      </c>
      <c r="E7" s="30">
        <v>46143.0</v>
      </c>
      <c r="F7" s="30">
        <v>46146.0</v>
      </c>
      <c r="G7" s="30" t="s">
        <v>37</v>
      </c>
      <c r="H7" s="31">
        <v>90.0</v>
      </c>
      <c r="I7" s="32">
        <v>11000.0</v>
      </c>
      <c r="J7" s="31">
        <v>0.0</v>
      </c>
      <c r="K7" s="32">
        <v>0.0</v>
      </c>
      <c r="L7" s="33">
        <v>0.0</v>
      </c>
      <c r="M7" s="33">
        <v>0.0</v>
      </c>
      <c r="N7" s="34">
        <v>0.0</v>
      </c>
      <c r="O7" s="11"/>
      <c r="P7" s="35">
        <v>700000.0</v>
      </c>
      <c r="Q7" s="36">
        <f t="shared" si="3"/>
        <v>990000</v>
      </c>
      <c r="R7" s="37">
        <f t="shared" si="2"/>
        <v>-290000</v>
      </c>
      <c r="S7" s="6"/>
      <c r="T7" s="41" t="s">
        <v>38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ht="30.0" customHeight="1">
      <c r="A8" s="6"/>
      <c r="B8" s="42" t="s">
        <v>39</v>
      </c>
      <c r="C8" s="42" t="s">
        <v>40</v>
      </c>
      <c r="D8" s="39" t="s">
        <v>27</v>
      </c>
      <c r="E8" s="43">
        <v>46161.0</v>
      </c>
      <c r="F8" s="43" t="s">
        <v>41</v>
      </c>
      <c r="G8" s="43" t="s">
        <v>42</v>
      </c>
      <c r="H8" s="31">
        <v>18.0</v>
      </c>
      <c r="I8" s="32">
        <v>11000.0</v>
      </c>
      <c r="J8" s="31">
        <v>0.0</v>
      </c>
      <c r="K8" s="32">
        <v>0.0</v>
      </c>
      <c r="L8" s="33">
        <v>0.0</v>
      </c>
      <c r="M8" s="33">
        <v>0.0</v>
      </c>
      <c r="N8" s="34">
        <v>0.0</v>
      </c>
      <c r="O8" s="11"/>
      <c r="P8" s="35">
        <v>150000.0</v>
      </c>
      <c r="Q8" s="36">
        <f t="shared" si="3"/>
        <v>198000</v>
      </c>
      <c r="R8" s="37">
        <f t="shared" si="2"/>
        <v>-48000</v>
      </c>
      <c r="S8" s="6"/>
      <c r="T8" s="44" t="s">
        <v>43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30.0" customHeight="1">
      <c r="A9" s="6"/>
      <c r="B9" s="42" t="s">
        <v>44</v>
      </c>
      <c r="C9" s="42" t="s">
        <v>45</v>
      </c>
      <c r="D9" s="39" t="s">
        <v>46</v>
      </c>
      <c r="E9" s="43">
        <v>46167.0</v>
      </c>
      <c r="F9" s="43" t="s">
        <v>42</v>
      </c>
      <c r="G9" s="43" t="s">
        <v>42</v>
      </c>
      <c r="H9" s="31">
        <v>8.0</v>
      </c>
      <c r="I9" s="32">
        <v>11000.0</v>
      </c>
      <c r="J9" s="31">
        <v>0.0</v>
      </c>
      <c r="K9" s="32">
        <v>0.0</v>
      </c>
      <c r="L9" s="33">
        <v>0.0</v>
      </c>
      <c r="M9" s="33">
        <v>0.0</v>
      </c>
      <c r="N9" s="34">
        <v>0.0</v>
      </c>
      <c r="O9" s="11"/>
      <c r="P9" s="35">
        <v>200000.0</v>
      </c>
      <c r="Q9" s="36">
        <f t="shared" si="3"/>
        <v>88000</v>
      </c>
      <c r="R9" s="37">
        <f t="shared" si="2"/>
        <v>112000</v>
      </c>
      <c r="S9" s="6"/>
      <c r="T9" s="19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ht="30.0" customHeight="1">
      <c r="A10" s="6"/>
      <c r="B10" s="42" t="s">
        <v>47</v>
      </c>
      <c r="C10" s="42" t="s">
        <v>48</v>
      </c>
      <c r="D10" s="39" t="s">
        <v>34</v>
      </c>
      <c r="E10" s="43" t="s">
        <v>49</v>
      </c>
      <c r="F10" s="43"/>
      <c r="G10" s="43"/>
      <c r="H10" s="31">
        <v>13.5</v>
      </c>
      <c r="I10" s="32">
        <v>11000.0</v>
      </c>
      <c r="J10" s="31">
        <v>0.0</v>
      </c>
      <c r="K10" s="32">
        <v>0.0</v>
      </c>
      <c r="L10" s="33">
        <v>0.0</v>
      </c>
      <c r="M10" s="33">
        <v>0.0</v>
      </c>
      <c r="N10" s="34">
        <v>0.0</v>
      </c>
      <c r="O10" s="11"/>
      <c r="P10" s="35">
        <v>150000.0</v>
      </c>
      <c r="Q10" s="36">
        <f t="shared" si="3"/>
        <v>148500</v>
      </c>
      <c r="R10" s="37">
        <f t="shared" si="2"/>
        <v>1500</v>
      </c>
      <c r="S10" s="6"/>
      <c r="T10" s="19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ht="30.0" customHeight="1">
      <c r="A11" s="6"/>
      <c r="B11" s="45" t="s">
        <v>50</v>
      </c>
      <c r="C11" s="45"/>
      <c r="D11" s="45"/>
      <c r="E11" s="46"/>
      <c r="F11" s="46"/>
      <c r="G11" s="46"/>
      <c r="H11" s="47"/>
      <c r="I11" s="48">
        <f>(H5*I5)+(H6*I6)+(H7*I7)+(H8*I8)+(H9*I9)+(H10*I10)</f>
        <v>1666500</v>
      </c>
      <c r="J11" s="49"/>
      <c r="K11" s="50">
        <f>(J5*K5)+(J6*K6)+(J7*K7)+(J8*K8)+(J9*K9)+(J10*K10)</f>
        <v>0</v>
      </c>
      <c r="L11" s="51">
        <f>SUM(L5:L10)</f>
        <v>0</v>
      </c>
      <c r="M11" s="51"/>
      <c r="N11" s="52">
        <f>SUM(N5:N10)</f>
        <v>0</v>
      </c>
      <c r="O11" s="11"/>
      <c r="P11" s="53">
        <f>SUM(P5:P10)</f>
        <v>1500000</v>
      </c>
      <c r="Q11" s="50">
        <f>SUM(I11:O11)</f>
        <v>1666500</v>
      </c>
      <c r="R11" s="50">
        <f t="shared" si="2"/>
        <v>-166500</v>
      </c>
      <c r="S11" s="6"/>
      <c r="T11" s="39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ht="10.5" customHeight="1">
      <c r="A12" s="6"/>
      <c r="B12" s="54"/>
      <c r="C12" s="54"/>
      <c r="D12" s="54"/>
      <c r="E12" s="54"/>
      <c r="F12" s="54"/>
      <c r="G12" s="54"/>
      <c r="H12" s="55"/>
      <c r="I12" s="56"/>
      <c r="J12" s="55"/>
      <c r="K12" s="56"/>
      <c r="L12" s="55"/>
      <c r="M12" s="55"/>
      <c r="N12" s="56"/>
      <c r="O12" s="55"/>
      <c r="P12" s="57"/>
      <c r="Q12" s="56"/>
      <c r="R12" s="58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3.5" customHeight="1">
      <c r="A15" s="1"/>
      <c r="B15" s="1"/>
      <c r="C15" s="1"/>
      <c r="D15" s="19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13.5" customHeight="1">
      <c r="A16" s="1"/>
      <c r="B16" s="1"/>
      <c r="C16" s="1"/>
      <c r="D16" s="28" t="s">
        <v>24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3.5" customHeight="1">
      <c r="A17" s="1"/>
      <c r="B17" s="1"/>
      <c r="C17" s="1"/>
      <c r="D17" s="28" t="s">
        <v>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3.5" customHeight="1">
      <c r="A18" s="1"/>
      <c r="B18" s="1"/>
      <c r="C18" s="1"/>
      <c r="D18" s="39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3.5" customHeight="1">
      <c r="A19" s="1"/>
      <c r="B19" s="1"/>
      <c r="C19" s="1"/>
      <c r="D19" s="28" t="s">
        <v>27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</row>
    <row r="221" ht="13.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</row>
    <row r="222" ht="13.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</row>
    <row r="223" ht="13.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</row>
    <row r="224" ht="13.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</row>
    <row r="225" ht="13.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</row>
    <row r="226" ht="13.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</row>
    <row r="227" ht="13.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</row>
    <row r="228" ht="13.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</row>
    <row r="229" ht="13.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</row>
    <row r="230" ht="13.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</row>
    <row r="231" ht="13.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</row>
    <row r="232" ht="13.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</row>
    <row r="233" ht="13.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</row>
    <row r="234" ht="13.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</row>
    <row r="235" ht="13.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</row>
    <row r="236" ht="13.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</row>
    <row r="237" ht="13.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</row>
    <row r="238" ht="13.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</row>
    <row r="239" ht="13.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</row>
    <row r="240" ht="13.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</row>
    <row r="241" ht="13.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</row>
    <row r="242" ht="13.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</row>
    <row r="243" ht="13.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</row>
    <row r="244" ht="13.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</row>
    <row r="245" ht="13.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</row>
    <row r="246" ht="13.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</row>
    <row r="247" ht="13.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</row>
    <row r="248" ht="13.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</row>
    <row r="249" ht="13.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</row>
    <row r="250" ht="13.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</row>
    <row r="251" ht="13.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</row>
    <row r="252" ht="13.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</row>
    <row r="253" ht="13.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</row>
    <row r="254" ht="13.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</row>
    <row r="255" ht="13.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</row>
    <row r="256" ht="13.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</row>
    <row r="257" ht="13.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</row>
    <row r="258" ht="13.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</row>
    <row r="259" ht="13.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</row>
    <row r="260" ht="13.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</row>
    <row r="261" ht="13.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</row>
    <row r="262" ht="13.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</row>
    <row r="263" ht="13.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</row>
    <row r="264" ht="13.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</row>
    <row r="265" ht="13.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</row>
    <row r="266" ht="13.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</row>
    <row r="267" ht="13.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</row>
    <row r="268" ht="13.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</row>
    <row r="269" ht="13.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</row>
    <row r="270" ht="13.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</row>
    <row r="271" ht="13.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</row>
    <row r="272" ht="13.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</row>
    <row r="273" ht="13.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</row>
    <row r="274" ht="13.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</row>
    <row r="275" ht="13.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</row>
    <row r="276" ht="13.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</row>
    <row r="277" ht="13.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</row>
    <row r="278" ht="13.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</row>
    <row r="279" ht="13.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</row>
    <row r="280" ht="13.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</row>
    <row r="281" ht="13.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</row>
    <row r="282" ht="13.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</row>
    <row r="283" ht="13.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</row>
    <row r="284" ht="13.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</row>
    <row r="285" ht="13.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</row>
    <row r="286" ht="13.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</row>
    <row r="287" ht="13.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</row>
    <row r="288" ht="13.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</row>
    <row r="289" ht="13.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</row>
    <row r="290" ht="13.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</row>
    <row r="291" ht="13.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</row>
    <row r="292" ht="13.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</row>
    <row r="293" ht="13.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</row>
    <row r="294" ht="13.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</row>
    <row r="295" ht="13.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</row>
    <row r="296" ht="13.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</row>
    <row r="297" ht="13.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</row>
    <row r="298" ht="13.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</row>
    <row r="299" ht="13.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</row>
    <row r="300" ht="13.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</row>
    <row r="301" ht="13.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</row>
    <row r="302" ht="13.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</row>
    <row r="303" ht="13.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</row>
    <row r="304" ht="13.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</row>
    <row r="305" ht="13.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</row>
    <row r="306" ht="13.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</row>
    <row r="307" ht="13.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</row>
    <row r="308" ht="13.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</row>
    <row r="309" ht="13.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</row>
    <row r="310" ht="13.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</row>
    <row r="311" ht="13.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</row>
    <row r="312" ht="13.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</row>
    <row r="313" ht="13.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</row>
    <row r="314" ht="13.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</row>
    <row r="315" ht="13.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</row>
    <row r="316" ht="13.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</row>
    <row r="317" ht="13.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</row>
    <row r="318" ht="13.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</row>
    <row r="319" ht="13.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</row>
    <row r="320" ht="13.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</row>
    <row r="321" ht="13.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</row>
    <row r="322" ht="13.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</row>
    <row r="323" ht="13.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</row>
    <row r="324" ht="13.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</row>
    <row r="325" ht="13.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</row>
    <row r="326" ht="13.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</row>
    <row r="327" ht="13.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</row>
    <row r="328" ht="13.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</row>
    <row r="329" ht="13.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</row>
    <row r="330" ht="13.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</row>
    <row r="331" ht="13.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</row>
    <row r="332" ht="13.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</row>
    <row r="333" ht="13.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</row>
    <row r="334" ht="13.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</row>
    <row r="335" ht="13.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</row>
    <row r="336" ht="13.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</row>
    <row r="337" ht="13.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</row>
    <row r="338" ht="13.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</row>
    <row r="339" ht="13.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</row>
    <row r="340" ht="13.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</row>
    <row r="341" ht="13.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</row>
    <row r="342" ht="13.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</row>
    <row r="343" ht="13.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</row>
    <row r="344" ht="13.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</row>
    <row r="345" ht="13.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</row>
    <row r="346" ht="13.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</row>
    <row r="347" ht="13.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</row>
    <row r="348" ht="13.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</row>
    <row r="349" ht="13.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</row>
    <row r="350" ht="13.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</row>
    <row r="351" ht="13.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</row>
    <row r="352" ht="13.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</row>
    <row r="353" ht="13.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</row>
    <row r="354" ht="13.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</row>
    <row r="355" ht="13.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</row>
    <row r="356" ht="13.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</row>
    <row r="357" ht="13.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</row>
    <row r="358" ht="13.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</row>
    <row r="359" ht="13.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</row>
    <row r="360" ht="13.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</row>
    <row r="361" ht="13.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</row>
    <row r="362" ht="13.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</row>
    <row r="363" ht="13.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</row>
    <row r="364" ht="13.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</row>
    <row r="365" ht="13.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</row>
    <row r="366" ht="13.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</row>
    <row r="367" ht="13.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</row>
    <row r="368" ht="13.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</row>
    <row r="369" ht="13.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</row>
    <row r="370" ht="13.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</row>
    <row r="371" ht="13.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</row>
    <row r="372" ht="13.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</row>
    <row r="373" ht="13.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</row>
    <row r="374" ht="13.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</row>
    <row r="375" ht="13.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</row>
    <row r="376" ht="13.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</row>
    <row r="377" ht="13.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</row>
    <row r="378" ht="13.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</row>
    <row r="379" ht="13.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</row>
    <row r="380" ht="13.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</row>
    <row r="381" ht="13.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</row>
    <row r="382" ht="13.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</row>
    <row r="383" ht="13.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</row>
    <row r="384" ht="13.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</row>
    <row r="385" ht="13.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</row>
    <row r="386" ht="13.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</row>
    <row r="387" ht="13.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</row>
    <row r="388" ht="13.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</row>
    <row r="389" ht="13.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</row>
    <row r="390" ht="13.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</row>
    <row r="391" ht="13.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</row>
    <row r="392" ht="13.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</row>
    <row r="393" ht="13.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</row>
    <row r="394" ht="13.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</row>
    <row r="395" ht="13.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</row>
    <row r="396" ht="13.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</row>
    <row r="397" ht="13.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</row>
    <row r="398" ht="13.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</row>
    <row r="399" ht="13.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</row>
    <row r="400" ht="13.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</row>
    <row r="401" ht="13.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</row>
    <row r="402" ht="13.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</row>
    <row r="403" ht="13.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</row>
    <row r="404" ht="13.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</row>
    <row r="405" ht="13.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</row>
    <row r="406" ht="13.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</row>
    <row r="407" ht="13.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</row>
    <row r="408" ht="13.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</row>
    <row r="409" ht="13.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</row>
    <row r="410" ht="13.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</row>
    <row r="411" ht="13.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</row>
    <row r="412" ht="13.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</row>
    <row r="413" ht="13.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</row>
    <row r="414" ht="13.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</row>
    <row r="415" ht="13.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</row>
    <row r="416" ht="13.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</row>
    <row r="417" ht="13.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</row>
    <row r="418" ht="13.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</row>
    <row r="419" ht="13.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</row>
    <row r="420" ht="13.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</row>
    <row r="421" ht="13.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</row>
    <row r="422" ht="13.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</row>
    <row r="423" ht="13.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</row>
    <row r="424" ht="13.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</row>
    <row r="425" ht="13.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</row>
    <row r="426" ht="13.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</row>
    <row r="427" ht="13.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</row>
    <row r="428" ht="13.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</row>
    <row r="429" ht="13.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</row>
    <row r="430" ht="13.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</row>
    <row r="431" ht="13.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</row>
    <row r="432" ht="13.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</row>
    <row r="433" ht="13.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</row>
    <row r="434" ht="13.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</row>
    <row r="435" ht="13.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</row>
    <row r="436" ht="13.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</row>
    <row r="437" ht="13.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</row>
    <row r="438" ht="13.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</row>
    <row r="439" ht="13.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</row>
    <row r="440" ht="13.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</row>
    <row r="441" ht="13.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</row>
    <row r="442" ht="13.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</row>
    <row r="443" ht="13.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</row>
    <row r="444" ht="13.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</row>
    <row r="445" ht="13.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</row>
    <row r="446" ht="13.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</row>
    <row r="447" ht="13.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</row>
    <row r="448" ht="13.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</row>
    <row r="449" ht="13.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</row>
    <row r="450" ht="13.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</row>
    <row r="451" ht="13.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</row>
    <row r="452" ht="13.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</row>
    <row r="453" ht="13.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</row>
    <row r="454" ht="13.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</row>
    <row r="455" ht="13.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</row>
    <row r="456" ht="13.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</row>
    <row r="457" ht="13.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</row>
    <row r="458" ht="13.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</row>
    <row r="459" ht="13.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</row>
    <row r="460" ht="13.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</row>
    <row r="461" ht="13.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</row>
    <row r="462" ht="13.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</row>
    <row r="463" ht="13.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</row>
    <row r="464" ht="13.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</row>
    <row r="465" ht="13.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</row>
    <row r="466" ht="13.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</row>
    <row r="467" ht="13.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</row>
    <row r="468" ht="13.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</row>
    <row r="469" ht="13.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</row>
    <row r="470" ht="13.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</row>
    <row r="471" ht="13.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</row>
    <row r="472" ht="13.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</row>
    <row r="473" ht="13.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</row>
    <row r="474" ht="13.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</row>
    <row r="475" ht="13.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</row>
    <row r="476" ht="13.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</row>
    <row r="477" ht="13.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</row>
    <row r="478" ht="13.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</row>
    <row r="479" ht="13.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</row>
    <row r="480" ht="13.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</row>
    <row r="481" ht="13.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</row>
    <row r="482" ht="13.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</row>
    <row r="483" ht="13.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</row>
    <row r="484" ht="13.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</row>
    <row r="485" ht="13.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</row>
    <row r="486" ht="13.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</row>
    <row r="487" ht="13.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</row>
    <row r="488" ht="13.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</row>
    <row r="489" ht="13.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</row>
    <row r="490" ht="13.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</row>
    <row r="491" ht="13.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</row>
    <row r="492" ht="13.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</row>
    <row r="493" ht="13.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</row>
    <row r="494" ht="13.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</row>
    <row r="495" ht="13.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</row>
    <row r="496" ht="13.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</row>
    <row r="497" ht="13.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</row>
    <row r="498" ht="13.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</row>
    <row r="499" ht="13.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</row>
    <row r="500" ht="13.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</row>
    <row r="501" ht="13.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</row>
    <row r="502" ht="13.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</row>
    <row r="503" ht="13.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</row>
    <row r="504" ht="13.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</row>
    <row r="505" ht="13.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</row>
    <row r="506" ht="13.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</row>
    <row r="507" ht="13.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</row>
    <row r="508" ht="13.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</row>
    <row r="509" ht="13.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</row>
    <row r="510" ht="13.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</row>
    <row r="511" ht="13.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</row>
    <row r="512" ht="13.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</row>
    <row r="513" ht="13.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</row>
    <row r="514" ht="13.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</row>
    <row r="515" ht="13.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</row>
    <row r="516" ht="13.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</row>
    <row r="517" ht="13.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</row>
    <row r="518" ht="13.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</row>
    <row r="519" ht="13.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</row>
    <row r="520" ht="13.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</row>
    <row r="521" ht="13.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</row>
    <row r="522" ht="13.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</row>
    <row r="523" ht="13.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</row>
    <row r="524" ht="13.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</row>
    <row r="525" ht="13.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</row>
    <row r="526" ht="13.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</row>
    <row r="527" ht="13.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</row>
    <row r="528" ht="13.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</row>
    <row r="529" ht="13.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</row>
    <row r="530" ht="13.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</row>
    <row r="531" ht="13.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</row>
    <row r="532" ht="13.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</row>
    <row r="533" ht="13.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</row>
    <row r="534" ht="13.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</row>
    <row r="535" ht="13.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</row>
    <row r="536" ht="13.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</row>
    <row r="537" ht="13.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</row>
    <row r="538" ht="13.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</row>
    <row r="539" ht="13.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</row>
    <row r="540" ht="13.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</row>
    <row r="541" ht="13.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</row>
    <row r="542" ht="13.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</row>
    <row r="543" ht="13.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</row>
    <row r="544" ht="13.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</row>
    <row r="545" ht="13.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</row>
    <row r="546" ht="13.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</row>
    <row r="547" ht="13.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</row>
    <row r="548" ht="13.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</row>
    <row r="549" ht="13.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</row>
    <row r="550" ht="13.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</row>
    <row r="551" ht="13.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</row>
    <row r="552" ht="13.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</row>
    <row r="553" ht="13.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</row>
    <row r="554" ht="13.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</row>
    <row r="555" ht="13.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</row>
    <row r="556" ht="13.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</row>
    <row r="557" ht="13.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</row>
    <row r="558" ht="13.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</row>
    <row r="559" ht="13.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</row>
    <row r="560" ht="13.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</row>
    <row r="561" ht="13.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</row>
    <row r="562" ht="13.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</row>
    <row r="563" ht="13.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</row>
    <row r="564" ht="13.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</row>
    <row r="565" ht="13.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</row>
    <row r="566" ht="13.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</row>
    <row r="567" ht="13.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</row>
    <row r="568" ht="13.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</row>
    <row r="569" ht="13.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</row>
    <row r="570" ht="13.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</row>
    <row r="571" ht="13.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</row>
    <row r="572" ht="13.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</row>
    <row r="573" ht="13.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</row>
    <row r="574" ht="13.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</row>
    <row r="575" ht="13.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</row>
    <row r="576" ht="13.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</row>
    <row r="577" ht="13.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</row>
    <row r="578" ht="13.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</row>
    <row r="579" ht="13.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</row>
    <row r="580" ht="13.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</row>
    <row r="581" ht="13.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</row>
    <row r="582" ht="13.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</row>
    <row r="583" ht="13.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</row>
    <row r="584" ht="13.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</row>
    <row r="585" ht="13.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</row>
    <row r="586" ht="13.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</row>
    <row r="587" ht="13.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</row>
    <row r="588" ht="13.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</row>
    <row r="589" ht="13.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</row>
    <row r="590" ht="13.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</row>
    <row r="591" ht="13.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</row>
    <row r="592" ht="13.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</row>
    <row r="593" ht="13.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</row>
    <row r="594" ht="13.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</row>
    <row r="595" ht="13.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</row>
    <row r="596" ht="13.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</row>
    <row r="597" ht="13.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</row>
    <row r="598" ht="13.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</row>
    <row r="599" ht="13.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</row>
    <row r="600" ht="13.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</row>
    <row r="601" ht="13.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</row>
    <row r="602" ht="13.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</row>
    <row r="603" ht="13.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</row>
    <row r="604" ht="13.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</row>
    <row r="605" ht="13.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</row>
    <row r="606" ht="13.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</row>
    <row r="607" ht="13.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</row>
    <row r="608" ht="13.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</row>
    <row r="609" ht="13.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</row>
    <row r="610" ht="13.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</row>
    <row r="611" ht="13.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</row>
    <row r="612" ht="13.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</row>
    <row r="613" ht="13.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</row>
    <row r="614" ht="13.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</row>
    <row r="615" ht="13.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</row>
    <row r="616" ht="13.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</row>
    <row r="617" ht="13.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</row>
    <row r="618" ht="13.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</row>
    <row r="619" ht="13.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</row>
    <row r="620" ht="13.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</row>
    <row r="621" ht="13.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</row>
    <row r="622" ht="13.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</row>
    <row r="623" ht="13.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</row>
    <row r="624" ht="13.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</row>
    <row r="625" ht="13.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</row>
    <row r="626" ht="13.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</row>
    <row r="627" ht="13.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</row>
    <row r="628" ht="13.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</row>
    <row r="629" ht="13.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</row>
    <row r="630" ht="13.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</row>
    <row r="631" ht="13.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</row>
    <row r="632" ht="13.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</row>
    <row r="633" ht="13.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</row>
    <row r="634" ht="13.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</row>
    <row r="635" ht="13.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</row>
    <row r="636" ht="13.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</row>
    <row r="637" ht="13.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</row>
    <row r="638" ht="13.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</row>
    <row r="639" ht="13.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</row>
    <row r="640" ht="13.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</row>
    <row r="641" ht="13.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</row>
    <row r="642" ht="13.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</row>
    <row r="643" ht="13.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</row>
    <row r="644" ht="13.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</row>
    <row r="645" ht="13.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</row>
    <row r="646" ht="13.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</row>
    <row r="647" ht="13.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</row>
    <row r="648" ht="13.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</row>
    <row r="649" ht="13.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</row>
    <row r="650" ht="13.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</row>
    <row r="651" ht="13.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</row>
    <row r="652" ht="13.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</row>
    <row r="653" ht="13.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</row>
    <row r="654" ht="13.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</row>
    <row r="655" ht="13.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</row>
    <row r="656" ht="13.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</row>
    <row r="657" ht="13.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</row>
    <row r="658" ht="13.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</row>
    <row r="659" ht="13.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</row>
    <row r="660" ht="13.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</row>
    <row r="661" ht="13.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</row>
    <row r="662" ht="13.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</row>
    <row r="663" ht="13.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</row>
    <row r="664" ht="13.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</row>
    <row r="665" ht="13.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</row>
    <row r="666" ht="13.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</row>
    <row r="667" ht="13.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</row>
    <row r="668" ht="13.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</row>
    <row r="669" ht="13.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</row>
    <row r="670" ht="13.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</row>
    <row r="671" ht="13.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</row>
    <row r="672" ht="13.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</row>
    <row r="673" ht="13.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</row>
    <row r="674" ht="13.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</row>
    <row r="675" ht="13.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</row>
    <row r="676" ht="13.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</row>
    <row r="677" ht="13.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</row>
    <row r="678" ht="13.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</row>
    <row r="679" ht="13.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</row>
    <row r="680" ht="13.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</row>
    <row r="681" ht="13.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</row>
    <row r="682" ht="13.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</row>
    <row r="683" ht="13.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</row>
    <row r="684" ht="13.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</row>
    <row r="685" ht="13.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</row>
    <row r="686" ht="13.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</row>
    <row r="687" ht="13.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</row>
    <row r="688" ht="13.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</row>
    <row r="689" ht="13.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</row>
    <row r="690" ht="13.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</row>
    <row r="691" ht="13.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</row>
    <row r="692" ht="13.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</row>
    <row r="693" ht="13.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</row>
    <row r="694" ht="13.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</row>
    <row r="695" ht="13.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</row>
    <row r="696" ht="13.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</row>
    <row r="697" ht="13.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</row>
    <row r="698" ht="13.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</row>
    <row r="699" ht="13.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</row>
    <row r="700" ht="13.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</row>
    <row r="701" ht="13.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</row>
    <row r="702" ht="13.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</row>
    <row r="703" ht="13.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</row>
    <row r="704" ht="13.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</row>
    <row r="705" ht="13.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</row>
    <row r="706" ht="13.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</row>
    <row r="707" ht="13.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</row>
    <row r="708" ht="13.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</row>
    <row r="709" ht="13.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</row>
    <row r="710" ht="13.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</row>
    <row r="711" ht="13.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</row>
    <row r="712" ht="13.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</row>
    <row r="713" ht="13.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</row>
    <row r="714" ht="13.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</row>
    <row r="715" ht="13.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</row>
    <row r="716" ht="13.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</row>
    <row r="717" ht="13.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</row>
    <row r="718" ht="13.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</row>
    <row r="719" ht="13.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</row>
    <row r="720" ht="13.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</row>
    <row r="721" ht="13.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</row>
    <row r="722" ht="13.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</row>
    <row r="723" ht="13.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</row>
    <row r="724" ht="13.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</row>
    <row r="725" ht="13.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</row>
    <row r="726" ht="13.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</row>
    <row r="727" ht="13.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</row>
    <row r="728" ht="13.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</row>
    <row r="729" ht="13.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</row>
    <row r="730" ht="13.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</row>
    <row r="731" ht="13.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</row>
    <row r="732" ht="13.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</row>
    <row r="733" ht="13.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</row>
    <row r="734" ht="13.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</row>
    <row r="735" ht="13.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</row>
    <row r="736" ht="13.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</row>
    <row r="737" ht="13.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</row>
    <row r="738" ht="13.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</row>
    <row r="739" ht="13.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</row>
    <row r="740" ht="13.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</row>
    <row r="741" ht="13.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</row>
    <row r="742" ht="13.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</row>
    <row r="743" ht="13.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</row>
    <row r="744" ht="13.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</row>
    <row r="745" ht="13.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</row>
    <row r="746" ht="13.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</row>
    <row r="747" ht="13.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</row>
    <row r="748" ht="13.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</row>
    <row r="749" ht="13.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</row>
    <row r="750" ht="13.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</row>
    <row r="751" ht="13.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</row>
    <row r="752" ht="13.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</row>
    <row r="753" ht="13.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</row>
    <row r="754" ht="13.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</row>
    <row r="755" ht="13.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</row>
    <row r="756" ht="13.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</row>
    <row r="757" ht="13.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</row>
    <row r="758" ht="13.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</row>
    <row r="759" ht="13.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</row>
    <row r="760" ht="13.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</row>
    <row r="761" ht="13.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</row>
    <row r="762" ht="13.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</row>
    <row r="763" ht="13.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</row>
    <row r="764" ht="13.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</row>
    <row r="765" ht="13.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</row>
    <row r="766" ht="13.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</row>
    <row r="767" ht="13.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</row>
    <row r="768" ht="13.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</row>
    <row r="769" ht="13.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</row>
    <row r="770" ht="13.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</row>
    <row r="771" ht="13.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</row>
    <row r="772" ht="13.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</row>
    <row r="773" ht="13.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</row>
    <row r="774" ht="13.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</row>
    <row r="775" ht="13.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</row>
    <row r="776" ht="13.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</row>
    <row r="777" ht="13.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</row>
    <row r="778" ht="13.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</row>
    <row r="779" ht="13.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</row>
    <row r="780" ht="13.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</row>
    <row r="781" ht="13.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</row>
    <row r="782" ht="13.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</row>
    <row r="783" ht="13.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</row>
    <row r="784" ht="13.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</row>
    <row r="785" ht="13.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</row>
    <row r="786" ht="13.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</row>
    <row r="787" ht="13.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</row>
    <row r="788" ht="13.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</row>
    <row r="789" ht="13.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</row>
    <row r="790" ht="13.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</row>
    <row r="791" ht="13.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</row>
    <row r="792" ht="13.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</row>
    <row r="793" ht="13.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</row>
    <row r="794" ht="13.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</row>
    <row r="795" ht="13.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</row>
    <row r="796" ht="13.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</row>
    <row r="797" ht="13.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</row>
    <row r="798" ht="13.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</row>
    <row r="799" ht="13.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</row>
    <row r="800" ht="13.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</row>
    <row r="801" ht="13.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</row>
    <row r="802" ht="13.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</row>
    <row r="803" ht="13.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</row>
    <row r="804" ht="13.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</row>
    <row r="805" ht="13.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</row>
    <row r="806" ht="13.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</row>
    <row r="807" ht="13.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</row>
    <row r="808" ht="13.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</row>
    <row r="809" ht="13.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</row>
    <row r="810" ht="13.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</row>
    <row r="811" ht="13.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</row>
    <row r="812" ht="13.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</row>
    <row r="813" ht="13.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</row>
    <row r="814" ht="13.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</row>
    <row r="815" ht="13.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</row>
    <row r="816" ht="13.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</row>
    <row r="817" ht="13.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</row>
    <row r="818" ht="13.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</row>
    <row r="819" ht="13.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</row>
    <row r="820" ht="13.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</row>
    <row r="821" ht="13.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</row>
    <row r="822" ht="13.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</row>
    <row r="823" ht="13.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</row>
    <row r="824" ht="13.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</row>
    <row r="825" ht="13.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</row>
    <row r="826" ht="13.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</row>
    <row r="827" ht="13.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</row>
    <row r="828" ht="13.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</row>
    <row r="829" ht="13.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</row>
    <row r="830" ht="13.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</row>
    <row r="831" ht="13.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</row>
    <row r="832" ht="13.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</row>
    <row r="833" ht="13.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</row>
    <row r="834" ht="13.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</row>
    <row r="835" ht="13.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</row>
    <row r="836" ht="13.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</row>
    <row r="837" ht="13.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</row>
    <row r="838" ht="13.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</row>
    <row r="839" ht="13.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</row>
    <row r="840" ht="13.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</row>
    <row r="841" ht="13.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</row>
    <row r="842" ht="13.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</row>
    <row r="843" ht="13.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</row>
    <row r="844" ht="13.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</row>
    <row r="845" ht="13.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</row>
    <row r="846" ht="13.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</row>
    <row r="847" ht="13.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</row>
    <row r="848" ht="13.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</row>
    <row r="849" ht="13.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</row>
    <row r="850" ht="13.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</row>
    <row r="851" ht="13.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</row>
    <row r="852" ht="13.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</row>
    <row r="853" ht="13.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</row>
    <row r="854" ht="13.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</row>
    <row r="855" ht="13.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</row>
    <row r="856" ht="13.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</row>
    <row r="857" ht="13.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</row>
    <row r="858" ht="13.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</row>
    <row r="859" ht="13.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</row>
    <row r="860" ht="13.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</row>
    <row r="861" ht="13.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</row>
    <row r="862" ht="13.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</row>
    <row r="863" ht="13.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</row>
    <row r="864" ht="13.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</row>
    <row r="865" ht="13.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</row>
    <row r="866" ht="13.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</row>
    <row r="867" ht="13.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</row>
    <row r="868" ht="13.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</row>
    <row r="869" ht="13.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</row>
    <row r="870" ht="13.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</row>
    <row r="871" ht="13.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</row>
    <row r="872" ht="13.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</row>
    <row r="873" ht="13.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</row>
    <row r="874" ht="13.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</row>
    <row r="875" ht="13.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</row>
    <row r="876" ht="13.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</row>
    <row r="877" ht="13.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</row>
    <row r="878" ht="13.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</row>
    <row r="879" ht="13.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</row>
    <row r="880" ht="13.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</row>
    <row r="881" ht="13.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</row>
    <row r="882" ht="13.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</row>
    <row r="883" ht="13.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</row>
    <row r="884" ht="13.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</row>
    <row r="885" ht="13.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</row>
    <row r="886" ht="13.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</row>
    <row r="887" ht="13.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</row>
    <row r="888" ht="13.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</row>
    <row r="889" ht="13.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</row>
    <row r="890" ht="13.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</row>
    <row r="891" ht="13.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</row>
    <row r="892" ht="13.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</row>
    <row r="893" ht="13.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</row>
    <row r="894" ht="13.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</row>
    <row r="895" ht="13.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</row>
    <row r="896" ht="13.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</row>
    <row r="897" ht="13.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</row>
    <row r="898" ht="13.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</row>
    <row r="899" ht="13.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</row>
    <row r="900" ht="13.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</row>
    <row r="901" ht="13.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</row>
    <row r="902" ht="13.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</row>
    <row r="903" ht="13.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</row>
    <row r="904" ht="13.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</row>
    <row r="905" ht="13.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</row>
    <row r="906" ht="13.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</row>
    <row r="907" ht="13.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</row>
    <row r="908" ht="13.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</row>
    <row r="909" ht="13.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</row>
    <row r="910" ht="13.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</row>
    <row r="911" ht="13.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</row>
    <row r="912" ht="13.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</row>
    <row r="913" ht="13.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</row>
    <row r="914" ht="13.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</row>
    <row r="915" ht="13.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</row>
    <row r="916" ht="13.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</row>
    <row r="917" ht="13.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</row>
    <row r="918" ht="13.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</row>
    <row r="919" ht="13.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</row>
    <row r="920" ht="13.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</row>
    <row r="921" ht="13.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</row>
    <row r="922" ht="13.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</row>
    <row r="923" ht="13.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</row>
    <row r="924" ht="13.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</row>
    <row r="925" ht="13.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</row>
    <row r="926" ht="13.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</row>
    <row r="927" ht="13.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</row>
    <row r="928" ht="13.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</row>
    <row r="929" ht="13.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</row>
    <row r="930" ht="13.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</row>
    <row r="931" ht="13.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</row>
    <row r="932" ht="13.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</row>
    <row r="933" ht="13.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</row>
    <row r="934" ht="13.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</row>
    <row r="935" ht="13.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</row>
    <row r="936" ht="13.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</row>
    <row r="937" ht="13.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</row>
    <row r="938" ht="13.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</row>
    <row r="939" ht="13.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</row>
    <row r="940" ht="13.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</row>
    <row r="941" ht="13.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</row>
    <row r="942" ht="13.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</row>
    <row r="943" ht="13.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</row>
    <row r="944" ht="13.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</row>
    <row r="945" ht="13.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</row>
    <row r="946" ht="13.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</row>
    <row r="947" ht="13.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</row>
    <row r="948" ht="13.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</row>
    <row r="949" ht="13.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</row>
    <row r="950" ht="13.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</row>
    <row r="951" ht="13.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</row>
    <row r="952" ht="13.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</row>
    <row r="953" ht="13.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</row>
    <row r="954" ht="13.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</row>
    <row r="955" ht="13.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</row>
    <row r="956" ht="13.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</row>
    <row r="957" ht="13.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</row>
    <row r="958" ht="13.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</row>
    <row r="959" ht="13.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</row>
    <row r="960" ht="13.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</row>
    <row r="961" ht="13.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</row>
    <row r="962" ht="13.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</row>
    <row r="963" ht="13.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</row>
    <row r="964" ht="13.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</row>
    <row r="965" ht="13.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</row>
    <row r="966" ht="13.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</row>
    <row r="967" ht="13.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</row>
    <row r="968" ht="13.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</row>
    <row r="969" ht="13.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</row>
    <row r="970" ht="13.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</row>
    <row r="971" ht="13.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</row>
    <row r="972" ht="13.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</row>
    <row r="973" ht="13.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</row>
    <row r="974" ht="13.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</row>
    <row r="975" ht="13.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</row>
    <row r="976" ht="13.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</row>
    <row r="977" ht="13.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</row>
    <row r="978" ht="13.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</row>
    <row r="979" ht="13.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</row>
    <row r="980" ht="13.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</row>
    <row r="981" ht="13.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</row>
    <row r="982" ht="13.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</row>
    <row r="983" ht="13.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</row>
    <row r="984" ht="13.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</row>
    <row r="985" ht="13.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</row>
    <row r="986" ht="13.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</row>
    <row r="987" ht="13.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</row>
    <row r="988" ht="13.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</row>
    <row r="989" ht="13.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</row>
    <row r="990" ht="13.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</row>
    <row r="991" ht="13.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</row>
    <row r="992" ht="13.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</row>
    <row r="993" ht="13.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</row>
    <row r="994" ht="13.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</row>
    <row r="995" ht="13.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</row>
    <row r="996" ht="13.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</row>
    <row r="997" ht="13.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</row>
    <row r="998" ht="13.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</row>
    <row r="999" ht="13.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</row>
    <row r="1000" ht="13.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</row>
  </sheetData>
  <mergeCells count="14">
    <mergeCell ref="N5:O5"/>
    <mergeCell ref="N6:O6"/>
    <mergeCell ref="N7:O7"/>
    <mergeCell ref="N8:O8"/>
    <mergeCell ref="N9:O9"/>
    <mergeCell ref="N10:O10"/>
    <mergeCell ref="N11:O11"/>
    <mergeCell ref="B1:L1"/>
    <mergeCell ref="B2:G2"/>
    <mergeCell ref="H2:I2"/>
    <mergeCell ref="J2:M2"/>
    <mergeCell ref="N2:Q2"/>
    <mergeCell ref="N3:O3"/>
    <mergeCell ref="N4:O4"/>
  </mergeCells>
  <conditionalFormatting sqref="R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ntainsText" dxfId="0" priority="2" operator="containsText" text="Not Started">
      <formula>NOT(ISERROR(SEARCH(("Not Started"),(T3))))</formula>
    </cfRule>
  </conditionalFormatting>
  <conditionalFormatting sqref="T3:T11">
    <cfRule type="containsText" dxfId="1" priority="3" operator="containsText" text="Needs Review">
      <formula>NOT(ISERROR(SEARCH(("Needs Review"),(T3))))</formula>
    </cfRule>
  </conditionalFormatting>
  <conditionalFormatting sqref="T3:T11">
    <cfRule type="containsText" dxfId="2" priority="4" operator="containsText" text="Overdue">
      <formula>NOT(ISERROR(SEARCH(("Overdue"),(T3))))</formula>
    </cfRule>
  </conditionalFormatting>
  <conditionalFormatting sqref="T3:T11">
    <cfRule type="containsText" dxfId="3" priority="5" operator="containsText" text="On Hold">
      <formula>NOT(ISERROR(SEARCH(("On Hold"),(T3))))</formula>
    </cfRule>
  </conditionalFormatting>
  <conditionalFormatting sqref="T3:T11">
    <cfRule type="containsText" dxfId="4" priority="6" operator="containsText" text="Complete">
      <formula>NOT(ISERROR(SEARCH(("Complete"),(T3))))</formula>
    </cfRule>
  </conditionalFormatting>
  <conditionalFormatting sqref="T3:T11">
    <cfRule type="containsText" dxfId="5" priority="7" operator="containsText" text="In Progress">
      <formula>NOT(ISERROR(SEARCH(("In Progress"),(T3))))</formula>
    </cfRule>
  </conditionalFormatting>
  <conditionalFormatting sqref="D5">
    <cfRule type="containsText" dxfId="0" priority="8" operator="containsText" text="Not Started">
      <formula>NOT(ISERROR(SEARCH(("Not Started"),(D5))))</formula>
    </cfRule>
  </conditionalFormatting>
  <conditionalFormatting sqref="D5">
    <cfRule type="containsText" dxfId="1" priority="9" operator="containsText" text="Needs Review">
      <formula>NOT(ISERROR(SEARCH(("Needs Review"),(D5))))</formula>
    </cfRule>
  </conditionalFormatting>
  <conditionalFormatting sqref="D5">
    <cfRule type="containsText" dxfId="2" priority="10" operator="containsText" text="Overdue">
      <formula>NOT(ISERROR(SEARCH(("Overdue"),(D5))))</formula>
    </cfRule>
  </conditionalFormatting>
  <conditionalFormatting sqref="D5">
    <cfRule type="containsText" dxfId="3" priority="11" operator="containsText" text="On Hold">
      <formula>NOT(ISERROR(SEARCH(("On Hold"),(D5))))</formula>
    </cfRule>
  </conditionalFormatting>
  <conditionalFormatting sqref="D5">
    <cfRule type="containsText" dxfId="4" priority="12" operator="containsText" text="Complete">
      <formula>NOT(ISERROR(SEARCH(("Complete"),(D5))))</formula>
    </cfRule>
  </conditionalFormatting>
  <conditionalFormatting sqref="D5">
    <cfRule type="containsText" dxfId="5" priority="13" operator="containsText" text="In Progress">
      <formula>NOT(ISERROR(SEARCH(("In Progress"),(D5))))</formula>
    </cfRule>
  </conditionalFormatting>
  <conditionalFormatting sqref="D6">
    <cfRule type="containsText" dxfId="0" priority="14" operator="containsText" text="Not Started">
      <formula>NOT(ISERROR(SEARCH(("Not Started"),(D6))))</formula>
    </cfRule>
  </conditionalFormatting>
  <conditionalFormatting sqref="D6">
    <cfRule type="containsText" dxfId="1" priority="15" operator="containsText" text="Needs Review">
      <formula>NOT(ISERROR(SEARCH(("Needs Review"),(D6))))</formula>
    </cfRule>
  </conditionalFormatting>
  <conditionalFormatting sqref="D6">
    <cfRule type="containsText" dxfId="2" priority="16" operator="containsText" text="Overdue">
      <formula>NOT(ISERROR(SEARCH(("Overdue"),(D6))))</formula>
    </cfRule>
  </conditionalFormatting>
  <conditionalFormatting sqref="D6">
    <cfRule type="containsText" dxfId="3" priority="17" operator="containsText" text="On Hold">
      <formula>NOT(ISERROR(SEARCH(("On Hold"),(D6))))</formula>
    </cfRule>
  </conditionalFormatting>
  <conditionalFormatting sqref="D6">
    <cfRule type="containsText" dxfId="4" priority="18" operator="containsText" text="Complete">
      <formula>NOT(ISERROR(SEARCH(("Complete"),(D6))))</formula>
    </cfRule>
  </conditionalFormatting>
  <conditionalFormatting sqref="D6">
    <cfRule type="containsText" dxfId="5" priority="19" operator="containsText" text="In Progress">
      <formula>NOT(ISERROR(SEARCH(("In Progress"),(D6))))</formula>
    </cfRule>
  </conditionalFormatting>
  <conditionalFormatting sqref="D7">
    <cfRule type="containsText" dxfId="0" priority="20" operator="containsText" text="Not Started">
      <formula>NOT(ISERROR(SEARCH(("Not Started"),(D7))))</formula>
    </cfRule>
  </conditionalFormatting>
  <conditionalFormatting sqref="D7">
    <cfRule type="containsText" dxfId="1" priority="21" operator="containsText" text="Needs Review">
      <formula>NOT(ISERROR(SEARCH(("Needs Review"),(D7))))</formula>
    </cfRule>
  </conditionalFormatting>
  <conditionalFormatting sqref="D7">
    <cfRule type="containsText" dxfId="2" priority="22" operator="containsText" text="Overdue">
      <formula>NOT(ISERROR(SEARCH(("Overdue"),(D7))))</formula>
    </cfRule>
  </conditionalFormatting>
  <conditionalFormatting sqref="D7">
    <cfRule type="containsText" dxfId="3" priority="23" operator="containsText" text="On Hold">
      <formula>NOT(ISERROR(SEARCH(("On Hold"),(D7))))</formula>
    </cfRule>
  </conditionalFormatting>
  <conditionalFormatting sqref="D7">
    <cfRule type="containsText" dxfId="4" priority="24" operator="containsText" text="Complete">
      <formula>NOT(ISERROR(SEARCH(("Complete"),(D7))))</formula>
    </cfRule>
  </conditionalFormatting>
  <conditionalFormatting sqref="D7">
    <cfRule type="containsText" dxfId="5" priority="25" operator="containsText" text="In Progress">
      <formula>NOT(ISERROR(SEARCH(("In Progress"),(D7))))</formula>
    </cfRule>
  </conditionalFormatting>
  <conditionalFormatting sqref="D8:D10">
    <cfRule type="containsText" dxfId="0" priority="26" operator="containsText" text="Not Started">
      <formula>NOT(ISERROR(SEARCH(("Not Started"),(D8))))</formula>
    </cfRule>
  </conditionalFormatting>
  <conditionalFormatting sqref="D8:D10">
    <cfRule type="containsText" dxfId="1" priority="27" operator="containsText" text="Needs Review">
      <formula>NOT(ISERROR(SEARCH(("Needs Review"),(D8))))</formula>
    </cfRule>
  </conditionalFormatting>
  <conditionalFormatting sqref="D8:D10">
    <cfRule type="containsText" dxfId="2" priority="28" operator="containsText" text="Overdue">
      <formula>NOT(ISERROR(SEARCH(("Overdue"),(D8))))</formula>
    </cfRule>
  </conditionalFormatting>
  <conditionalFormatting sqref="D8:D10">
    <cfRule type="containsText" dxfId="3" priority="29" operator="containsText" text="On Hold">
      <formula>NOT(ISERROR(SEARCH(("On Hold"),(D8))))</formula>
    </cfRule>
  </conditionalFormatting>
  <conditionalFormatting sqref="D8:D10">
    <cfRule type="containsText" dxfId="4" priority="30" operator="containsText" text="Complete">
      <formula>NOT(ISERROR(SEARCH(("Complete"),(D8))))</formula>
    </cfRule>
  </conditionalFormatting>
  <conditionalFormatting sqref="D8:D10">
    <cfRule type="containsText" dxfId="5" priority="31" operator="containsText" text="In Progress">
      <formula>NOT(ISERROR(SEARCH(("In Progress"),(D8))))</formula>
    </cfRule>
  </conditionalFormatting>
  <conditionalFormatting sqref="D15">
    <cfRule type="containsText" dxfId="0" priority="32" operator="containsText" text="Not Started">
      <formula>NOT(ISERROR(SEARCH(("Not Started"),(D15))))</formula>
    </cfRule>
  </conditionalFormatting>
  <conditionalFormatting sqref="D15">
    <cfRule type="containsText" dxfId="1" priority="33" operator="containsText" text="Needs Review">
      <formula>NOT(ISERROR(SEARCH(("Needs Review"),(D15))))</formula>
    </cfRule>
  </conditionalFormatting>
  <conditionalFormatting sqref="D15">
    <cfRule type="containsText" dxfId="2" priority="34" operator="containsText" text="Overdue">
      <formula>NOT(ISERROR(SEARCH(("Overdue"),(D15))))</formula>
    </cfRule>
  </conditionalFormatting>
  <conditionalFormatting sqref="D15">
    <cfRule type="containsText" dxfId="3" priority="35" operator="containsText" text="On Hold">
      <formula>NOT(ISERROR(SEARCH(("On Hold"),(D15))))</formula>
    </cfRule>
  </conditionalFormatting>
  <conditionalFormatting sqref="D15">
    <cfRule type="containsText" dxfId="4" priority="36" operator="containsText" text="Complete">
      <formula>NOT(ISERROR(SEARCH(("Complete"),(D15))))</formula>
    </cfRule>
  </conditionalFormatting>
  <conditionalFormatting sqref="D15">
    <cfRule type="containsText" dxfId="5" priority="37" operator="containsText" text="In Progress">
      <formula>NOT(ISERROR(SEARCH(("In Progress"),(D15))))</formula>
    </cfRule>
  </conditionalFormatting>
  <conditionalFormatting sqref="D16">
    <cfRule type="containsText" dxfId="0" priority="38" operator="containsText" text="Not Started">
      <formula>NOT(ISERROR(SEARCH(("Not Started"),(D16))))</formula>
    </cfRule>
  </conditionalFormatting>
  <conditionalFormatting sqref="D16">
    <cfRule type="containsText" dxfId="1" priority="39" operator="containsText" text="Needs Review">
      <formula>NOT(ISERROR(SEARCH(("Needs Review"),(D16))))</formula>
    </cfRule>
  </conditionalFormatting>
  <conditionalFormatting sqref="D16">
    <cfRule type="containsText" dxfId="2" priority="40" operator="containsText" text="Overdue">
      <formula>NOT(ISERROR(SEARCH(("Overdue"),(D16))))</formula>
    </cfRule>
  </conditionalFormatting>
  <conditionalFormatting sqref="D16">
    <cfRule type="containsText" dxfId="3" priority="41" operator="containsText" text="On Hold">
      <formula>NOT(ISERROR(SEARCH(("On Hold"),(D16))))</formula>
    </cfRule>
  </conditionalFormatting>
  <conditionalFormatting sqref="D16">
    <cfRule type="containsText" dxfId="4" priority="42" operator="containsText" text="Complete">
      <formula>NOT(ISERROR(SEARCH(("Complete"),(D16))))</formula>
    </cfRule>
  </conditionalFormatting>
  <conditionalFormatting sqref="D16">
    <cfRule type="containsText" dxfId="5" priority="43" operator="containsText" text="In Progress">
      <formula>NOT(ISERROR(SEARCH(("In Progress"),(D16))))</formula>
    </cfRule>
  </conditionalFormatting>
  <conditionalFormatting sqref="D17">
    <cfRule type="containsText" dxfId="0" priority="44" operator="containsText" text="Not Started">
      <formula>NOT(ISERROR(SEARCH(("Not Started"),(D17))))</formula>
    </cfRule>
  </conditionalFormatting>
  <conditionalFormatting sqref="D17">
    <cfRule type="containsText" dxfId="1" priority="45" operator="containsText" text="Needs Review">
      <formula>NOT(ISERROR(SEARCH(("Needs Review"),(D17))))</formula>
    </cfRule>
  </conditionalFormatting>
  <conditionalFormatting sqref="D17">
    <cfRule type="containsText" dxfId="2" priority="46" operator="containsText" text="Overdue">
      <formula>NOT(ISERROR(SEARCH(("Overdue"),(D17))))</formula>
    </cfRule>
  </conditionalFormatting>
  <conditionalFormatting sqref="D17">
    <cfRule type="containsText" dxfId="3" priority="47" operator="containsText" text="On Hold">
      <formula>NOT(ISERROR(SEARCH(("On Hold"),(D17))))</formula>
    </cfRule>
  </conditionalFormatting>
  <conditionalFormatting sqref="D17">
    <cfRule type="containsText" dxfId="4" priority="48" operator="containsText" text="Complete">
      <formula>NOT(ISERROR(SEARCH(("Complete"),(D17))))</formula>
    </cfRule>
  </conditionalFormatting>
  <conditionalFormatting sqref="D17">
    <cfRule type="containsText" dxfId="5" priority="49" operator="containsText" text="In Progress">
      <formula>NOT(ISERROR(SEARCH(("In Progress"),(D17))))</formula>
    </cfRule>
  </conditionalFormatting>
  <conditionalFormatting sqref="D18">
    <cfRule type="containsText" dxfId="0" priority="50" operator="containsText" text="Not Started">
      <formula>NOT(ISERROR(SEARCH(("Not Started"),(D18))))</formula>
    </cfRule>
  </conditionalFormatting>
  <conditionalFormatting sqref="D18">
    <cfRule type="containsText" dxfId="1" priority="51" operator="containsText" text="Needs Review">
      <formula>NOT(ISERROR(SEARCH(("Needs Review"),(D18))))</formula>
    </cfRule>
  </conditionalFormatting>
  <conditionalFormatting sqref="D18">
    <cfRule type="containsText" dxfId="2" priority="52" operator="containsText" text="Overdue">
      <formula>NOT(ISERROR(SEARCH(("Overdue"),(D18))))</formula>
    </cfRule>
  </conditionalFormatting>
  <conditionalFormatting sqref="D18">
    <cfRule type="containsText" dxfId="3" priority="53" operator="containsText" text="On Hold">
      <formula>NOT(ISERROR(SEARCH(("On Hold"),(D18))))</formula>
    </cfRule>
  </conditionalFormatting>
  <conditionalFormatting sqref="D18">
    <cfRule type="containsText" dxfId="4" priority="54" operator="containsText" text="Complete">
      <formula>NOT(ISERROR(SEARCH(("Complete"),(D18))))</formula>
    </cfRule>
  </conditionalFormatting>
  <conditionalFormatting sqref="D18">
    <cfRule type="containsText" dxfId="5" priority="55" operator="containsText" text="In Progress">
      <formula>NOT(ISERROR(SEARCH(("In Progress"),(D18))))</formula>
    </cfRule>
  </conditionalFormatting>
  <conditionalFormatting sqref="D19">
    <cfRule type="containsText" dxfId="0" priority="56" operator="containsText" text="Not Started">
      <formula>NOT(ISERROR(SEARCH(("Not Started"),(D19))))</formula>
    </cfRule>
  </conditionalFormatting>
  <conditionalFormatting sqref="D19">
    <cfRule type="containsText" dxfId="1" priority="57" operator="containsText" text="Needs Review">
      <formula>NOT(ISERROR(SEARCH(("Needs Review"),(D19))))</formula>
    </cfRule>
  </conditionalFormatting>
  <conditionalFormatting sqref="D19">
    <cfRule type="containsText" dxfId="2" priority="58" operator="containsText" text="Overdue">
      <formula>NOT(ISERROR(SEARCH(("Overdue"),(D19))))</formula>
    </cfRule>
  </conditionalFormatting>
  <conditionalFormatting sqref="D19">
    <cfRule type="containsText" dxfId="3" priority="59" operator="containsText" text="On Hold">
      <formula>NOT(ISERROR(SEARCH(("On Hold"),(D19))))</formula>
    </cfRule>
  </conditionalFormatting>
  <conditionalFormatting sqref="D19">
    <cfRule type="containsText" dxfId="4" priority="60" operator="containsText" text="Complete">
      <formula>NOT(ISERROR(SEARCH(("Complete"),(D19))))</formula>
    </cfRule>
  </conditionalFormatting>
  <conditionalFormatting sqref="D19">
    <cfRule type="containsText" dxfId="5" priority="61" operator="containsText" text="In Progress">
      <formula>NOT(ISERROR(SEARCH(("In Progress"),(D19))))</formula>
    </cfRule>
  </conditionalFormatting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88.22"/>
    <col customWidth="1" min="3" max="26" width="10.78"/>
  </cols>
  <sheetData>
    <row r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2015-08-28T20:34:30Z</dcterms:created>
  <dc:creator>Bess</dc:creator>
</cp:coreProperties>
</file>